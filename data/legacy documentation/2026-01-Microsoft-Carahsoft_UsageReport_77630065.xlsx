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58D2077-FDB4-438D-9DC8-26963D934089}" xr6:coauthVersionLast="47" xr6:coauthVersionMax="47" xr10:uidLastSave="{00000000-0000-0000-0000-000000000000}"/>
  <bookViews>
    <workbookView xWindow="-108" yWindow="-108" windowWidth="23256" windowHeight="12456" tabRatio="553" xr2:uid="{00000000-000D-0000-FFFF-FFFF00000000}"/>
  </bookViews>
  <sheets>
    <sheet name="01-01-2026-01-31-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K13" i="1"/>
</calcChain>
</file>

<file path=xl/sharedStrings.xml><?xml version="1.0" encoding="utf-8"?>
<sst xmlns="http://schemas.openxmlformats.org/spreadsheetml/2006/main" count="588" uniqueCount="143">
  <si>
    <t>Carahsoft Technology Corporation</t>
  </si>
  <si>
    <t>Microsoft Usage Report for January 2026</t>
  </si>
  <si>
    <t>Confidential &amp; Proprietary</t>
  </si>
  <si>
    <t>Customer Name</t>
  </si>
  <si>
    <t>Insight Analytics, Inc.</t>
  </si>
  <si>
    <t>Customer PO Number</t>
  </si>
  <si>
    <t>cc7381 (40863988)</t>
  </si>
  <si>
    <t>Customer Total</t>
  </si>
  <si>
    <t>Microsoft ID</t>
  </si>
  <si>
    <t>1b116b8d-1ec8-4491-8f03-e309ac27a3ba</t>
  </si>
  <si>
    <t>Quote ID</t>
  </si>
  <si>
    <t>Order #</t>
  </si>
  <si>
    <t>Date of this Report:</t>
  </si>
  <si>
    <t>Tuesday, February 10, 2026</t>
  </si>
  <si>
    <t>Reporting Period:</t>
  </si>
  <si>
    <t>01/01/2026-01/31/2026</t>
  </si>
  <si>
    <t>Total</t>
  </si>
  <si>
    <t>Customer ID</t>
  </si>
  <si>
    <t>Subscription ID</t>
  </si>
  <si>
    <t>Description</t>
  </si>
  <si>
    <t>Meter Description</t>
  </si>
  <si>
    <t>Domain Name</t>
  </si>
  <si>
    <t>Charge Start Date</t>
  </si>
  <si>
    <t>Charge End Date</t>
  </si>
  <si>
    <t>Unit Price</t>
  </si>
  <si>
    <t>QTY</t>
  </si>
  <si>
    <t>Total Price</t>
  </si>
  <si>
    <t>f42fd3fb-b245-4ad0-db5e-638ddce500de</t>
  </si>
  <si>
    <t>Azure Data Lake Storage Gen2 Hierarchical Namespace - Hot RA-GRS - US East 2</t>
  </si>
  <si>
    <t>Azure Data Lake Storage Gen2 Hierarchical Namespace - Hot RA-GRS - Data Stored (GB/Month) - US East 2</t>
  </si>
  <si>
    <t>insightanalytics.us</t>
  </si>
  <si>
    <t>2026-01-01</t>
  </si>
  <si>
    <t>2026-01-31</t>
  </si>
  <si>
    <t>Azure Data Lake Storage Gen2 Hierarchical Namespace - Hot GRS - US East 2</t>
  </si>
  <si>
    <t>Azure Data Lake Storage Gen2 Hierarchical Namespace - Hot GRS - 10K Iterative Read Operations - US East 2</t>
  </si>
  <si>
    <t>Azure Data Lake Storage Gen2 Hierarchical Namespace - Hot LRS - US East 2</t>
  </si>
  <si>
    <t>Azure Data Lake Storage Gen2 Hierarchical Namespace - Hot - 10K Other Operations - US East 2</t>
  </si>
  <si>
    <t>Azure Data Lake Storage Gen2 Hierarchical Namespace - Hot GRS - 10K Write Operations - US East 2</t>
  </si>
  <si>
    <t>Azure Data Lake Storage Gen2 Hierarchical Namespace - Hot - 10K Read Operations - US East 2</t>
  </si>
  <si>
    <t>Azure Data Lake Storage Gen2 Hierarchical Namespace - Hot RA-GRS - US East</t>
  </si>
  <si>
    <t>Azure Data Lake Storage Gen2 Hierarchical Namespace - Hot RA-GRS - Data Stored (GB/Month) - US East</t>
  </si>
  <si>
    <t>Azure Data Lake Storage Gen2 Hierarchical Namespace - Hot LRS - US East</t>
  </si>
  <si>
    <t>Azure Data Lake Storage Gen2 Hierarchical Namespace - Hot - 10K Iterative Read Operations - US East</t>
  </si>
  <si>
    <t>Azure Data Lake Storage Gen2 Hierarchical Namespace - Hot RA-GRS - Index (GB/Month) - US East</t>
  </si>
  <si>
    <t>Azure Data Lake Storage Gen2 Hierarchical Namespace - Hot - 10K Write Operations - US East</t>
  </si>
  <si>
    <t>Azure Data Lake Storage Gen2 Hierarchical Namespace - Hot RA-GRS - Index (GB/Month) - US East 2</t>
  </si>
  <si>
    <t>Azure Data Lake Storage Gen2 Hierarchical Namespace - Hot - 10K Other Operations - US East</t>
  </si>
  <si>
    <t>Azure Data Lake Storage Gen2 Hierarchical Namespace - Hot - 10K Read Operations - US East</t>
  </si>
  <si>
    <t>Azure Data Lake Storage Gen2 Hierarchical Namespace - Hot LRS - Data Stored (GB/Month) - US East</t>
  </si>
  <si>
    <t>Azure Data Lake Storage Gen2 Hierarchical Namespace - Hot - 100 Iterative Write Operations - US East</t>
  </si>
  <si>
    <t>Azure Data Lake Storage Gen2 Hierarchical Namespace - Hot GRS - US East</t>
  </si>
  <si>
    <t>Azure Data Lake Storage Gen2 Hierarchical Namespace - Hot GRS - 10K Write Operations - US East</t>
  </si>
  <si>
    <t>Azure Data Lake Storage Gen2 Hierarchical Namespace - Hot LRS - Index (GB/Month) - US East</t>
  </si>
  <si>
    <t>Azure Data Lake Storage Gen2 Hierarchical Namespace - Hot LRS</t>
  </si>
  <si>
    <t>Azure Data Lake Storage Gen2 Hierarchical Namespace - 10K Delete Operations</t>
  </si>
  <si>
    <t>Azure Data Lake Storage Gen2 Hierarchical Namespace - Hot GRS - 10K Iterative Read Operations - US East</t>
  </si>
  <si>
    <t>Azure Monitor - Alerts</t>
  </si>
  <si>
    <t>Azure Monitor - Alerts System Log Monitored at 5 Minute Frequency/Month</t>
  </si>
  <si>
    <t>Azure Monitor - Alerts System Log Monitored at 1 Minute Frequency/Month</t>
  </si>
  <si>
    <t>Azure Monitor - Alerts Resource Monitored at 5 Minute Frequency/Month</t>
  </si>
  <si>
    <t>Azure Monitor - Emails</t>
  </si>
  <si>
    <t>Azure Monitor - Emails 1</t>
  </si>
  <si>
    <t>Azure OpenAI - Assistants-File Search-regnl - US East 2</t>
  </si>
  <si>
    <t>Azure OpenAI - Assistants-File Search-regnl GB/Day - US East 2</t>
  </si>
  <si>
    <t>Azure Synapse Analytics Pipelines - Azure Hosted IR</t>
  </si>
  <si>
    <t>Azure Synapse Analytics Pipelines - Azure Hosted IR - 1K Orchestration Activity Runs</t>
  </si>
  <si>
    <t>Azure Synapse Analytics Pipelines - Azure Hosted IR - Data Movement Hours</t>
  </si>
  <si>
    <t>Azure Synapse Analytics Pipelines - Azure Hosted IR - External Pipeline Activity Hours</t>
  </si>
  <si>
    <t>Azure Synapse Analytics Pipelines - Azure Hosted IR - Pipeline Activity Hours</t>
  </si>
  <si>
    <t>Azure Synapse Analytics Serverless Apache Spark Pool - Memory Optimized - vCore - US East 2</t>
  </si>
  <si>
    <t>Azure Synapse Analytics Serverless Apache Spark Pool - Memory Optimized - vCore Hours - US East 2</t>
  </si>
  <si>
    <t>Azure Synapse Analytics Serverless Apache Spark Pool - Memory Optimized - vCore - US East</t>
  </si>
  <si>
    <t>Azure Synapse Analytics Serverless Apache Spark Pool - Memory Optimized - vCore Hours - US East</t>
  </si>
  <si>
    <t>Azure Synapse Analytics Serverless SQL Pool - US East 2</t>
  </si>
  <si>
    <t>Azure Synapse Analytics Serverless SQL Pool - Standard TB Data Processed - US East 2</t>
  </si>
  <si>
    <t>Azure Synapse Analytics Serverless SQL Pool - US East</t>
  </si>
  <si>
    <t>Azure Synapse Analytics Serverless SQL Pool - Standard TB Data Processed - US East</t>
  </si>
  <si>
    <t>Bandwidth Inter-Region - Intra Continent - North America</t>
  </si>
  <si>
    <t>Bandwidth Inter-Region - Intra Continent GB Data Transfer Out - North America</t>
  </si>
  <si>
    <t>Bandwidth Inter-Region - Inter Continent - Intercontinental</t>
  </si>
  <si>
    <t>Bandwidth Inter-Region - Inter Continent GB Data Transfer Out - NAM or EU To Any - Intercontinental</t>
  </si>
  <si>
    <t>Blob Storage - Hot GRS - US East 2</t>
  </si>
  <si>
    <t>Tiered Block Blob - GRS - 10K List and Create Container Operations - US East 2</t>
  </si>
  <si>
    <t>Blob Storage - Hot LRS - US East 2</t>
  </si>
  <si>
    <t>Tiered Block Blob - 10K All Other Operations - US East 2</t>
  </si>
  <si>
    <t>Container Registry - Basic</t>
  </si>
  <si>
    <t>Container Registry - Basic - Registry Units/Day</t>
  </si>
  <si>
    <t>Container Registry - Standard</t>
  </si>
  <si>
    <t>Container Registry - Data Stored (GB/Month)</t>
  </si>
  <si>
    <t>Event Grid</t>
  </si>
  <si>
    <t>Event Grid - Standard 100K Operations</t>
  </si>
  <si>
    <t>Files - LRS</t>
  </si>
  <si>
    <t>Files - 10K Read Operations</t>
  </si>
  <si>
    <t>General Block Blob v2 Hierarchical Namespace - Hot RA-GRS - US East</t>
  </si>
  <si>
    <t>General Block Blob v2 Hierarchical Namespace - Hot RA-GRS - Data Stored (GB/Month) - US East</t>
  </si>
  <si>
    <t>General Block Blob v2 Hierarchical Namespace - Hot RA-GRS - US East 2</t>
  </si>
  <si>
    <t>General Block Blob v2 Hierarchical Namespace - Hot RA-GRS - Data Stored (GB/Month) - US East 2</t>
  </si>
  <si>
    <t>General Block Blob v2 Hierarchical Namespace - Hot GRS - US East 2</t>
  </si>
  <si>
    <t>General Block Blob v2 Hierarchical Namespace - Hot GRS - 10K Write Operations - US East 2</t>
  </si>
  <si>
    <t>General Block Blob v2 Hierarchical Namespace - Hot LRS - US East 2</t>
  </si>
  <si>
    <t>General Block Blob v2 Hierarchical Namespace - Hot - 10K Read Operations - US East 2</t>
  </si>
  <si>
    <t>General Block Blob v2 Hierarchical Namespace - 10K Delete Operations - US East 2</t>
  </si>
  <si>
    <t>General Block Blob v2 Hierarchical Namespace - Hot LRS - US East</t>
  </si>
  <si>
    <t>General Block Blob v2 Hierarchical Namespace - Hot - 10K Other Operations - US East</t>
  </si>
  <si>
    <t>General Block Blob v2 Hierarchical Namespace - Hot GRS - US East</t>
  </si>
  <si>
    <t>General Block Blob v2 Hierarchical Namespace - Hot GRS - 10K Write Operations - US East</t>
  </si>
  <si>
    <t>General Block Blob v2 Hierarchical Namespace - Hot - 10K Read Operations - US East</t>
  </si>
  <si>
    <t>General Block Blob v2 Hierarchical Namespace - Hot - 10K Other Operations - US East 2</t>
  </si>
  <si>
    <t>General Block Blob v2 Hierarchical Namespace - Hot - 10K Write Operations - US East</t>
  </si>
  <si>
    <t>General Block Blob v2 Hierarchical Namespace - Hot LRS - Data Stored (GB/Month) - US East</t>
  </si>
  <si>
    <t>IP Addresses - Standard IPv4</t>
  </si>
  <si>
    <t>IP Addresses - Standard IPv4 Hours Static Public IP</t>
  </si>
  <si>
    <t>Key Vault - Premium</t>
  </si>
  <si>
    <t>Key Vault - 10K Operations</t>
  </si>
  <si>
    <t>Load Balancer</t>
  </si>
  <si>
    <t>Load Balancer - Standard Hours Included LB Rules and Outbound Rules</t>
  </si>
  <si>
    <t>Load Balancer - Standard Overage LB Rules and Outbound Rules/Hour</t>
  </si>
  <si>
    <t>Load Balancer - Standard GB Data Processed</t>
  </si>
  <si>
    <t>Log Analytics - Analytics Logs</t>
  </si>
  <si>
    <t>Log Analytics - Analytics Logs GB Data Ingestion</t>
  </si>
  <si>
    <t>Log Analytics - Analytics Logs - US East 2</t>
  </si>
  <si>
    <t>Log Analytics - Analytics Logs GB Data Ingestion - US East 2</t>
  </si>
  <si>
    <t>Power BI Embedded - A1</t>
  </si>
  <si>
    <t>Power BI Embedded - A1 Hours Node</t>
  </si>
  <si>
    <t>Premium SSD Managed Disks - P10 - US East 2</t>
  </si>
  <si>
    <t>Premium SSD Managed Disks - P10 LRS/Month - US East 2</t>
  </si>
  <si>
    <t>Rtn Preference: MGN</t>
  </si>
  <si>
    <t>Rtn Preference: MGN - Standard GB Data Transfer Out</t>
  </si>
  <si>
    <t>Rtn Preference: MGN - Standard GB Data Transfer In</t>
  </si>
  <si>
    <t>Standard SSD Managed Disks - E4 LRS</t>
  </si>
  <si>
    <t>Standard SSD Managed Disks - E4 - LRS - 10K Disk Operations</t>
  </si>
  <si>
    <t>Standard SSD Managed Disks - E3 LRS - US East 2</t>
  </si>
  <si>
    <t>Standard SSD Managed Disks - E3 - LRS - 1/Month Disk - US East 2</t>
  </si>
  <si>
    <t>Standard SSD Managed Disks - E2 LRS - US East 2</t>
  </si>
  <si>
    <t>Standard SSD Managed Disks - E2 - LRS - 1/Month Disk - US East 2</t>
  </si>
  <si>
    <t>Storage - Bandwidth - Geo-Replication v2 - US East 2</t>
  </si>
  <si>
    <t>Storage - Bandwidth - Geo-Replication v2 GB Data Transfer - US East 2</t>
  </si>
  <si>
    <t>Storage - Bandwidth - Geo-Replication v2 - US East</t>
  </si>
  <si>
    <t>Storage - Bandwidth - Geo-Replication v2 GB Data Transfer - US East</t>
  </si>
  <si>
    <t>Tables - LRS</t>
  </si>
  <si>
    <t>Tables - 10K Read Operations</t>
  </si>
  <si>
    <t>Virtual Machines Basv2 Series - B2as v2 - US East 2</t>
  </si>
  <si>
    <t>Virtual Machines Basv2 Series - B2as v2 Hours - US East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</si>
</sst>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##,###,##0.00_);_(\$* \(###,###,##0.00\);_(\$* &quot;&quot;\-&quot;&quot;??_);_(@_)"/>
  </numFmts>
  <fonts count="3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D3D3D3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D3D3D3"/>
      </right>
      <top/>
      <bottom/>
      <diagonal/>
    </border>
  </borders>
  <cellStyleXfs count="1">
    <xf numFmtId="0" fontId="0" fillId="0" borderId="0" applyBorder="0"/>
  </cellStyleXfs>
  <cellXfs count="36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right"/>
    </xf>
    <xf numFmtId="164" fontId="0" fillId="0" borderId="3" xfId="0" applyNumberFormat="1" applyBorder="1"/>
    <xf numFmtId="2" fontId="0" fillId="0" borderId="3" xfId="0" applyNumberForma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164" fontId="0" fillId="0" borderId="3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right"/>
    </xf>
    <xf numFmtId="164" fontId="0" fillId="0" borderId="5" xfId="0" applyNumberFormat="1" applyBorder="1"/>
    <xf numFmtId="2" fontId="0" fillId="0" borderId="5" xfId="0" applyNumberFormat="1" applyBorder="1" applyAlignment="1">
      <alignment horizontal="right"/>
    </xf>
    <xf numFmtId="164" fontId="0" fillId="0" borderId="6" xfId="0" applyNumberFormat="1" applyBorder="1"/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0" fontId="0" fillId="2" borderId="7" xfId="0" applyFill="1" applyBorder="1" applyAlignment="1">
      <alignment horizontal="left" vertical="top"/>
    </xf>
    <xf numFmtId="0" fontId="0" fillId="2" borderId="7" xfId="0" applyFill="1" applyBorder="1" applyAlignment="1">
      <alignment horizontal="right" vertical="top"/>
    </xf>
    <xf numFmtId="164" fontId="0" fillId="2" borderId="7" xfId="0" applyNumberFormat="1" applyFill="1" applyBorder="1" applyAlignment="1">
      <alignment horizontal="left" vertical="top"/>
    </xf>
    <xf numFmtId="2" fontId="0" fillId="2" borderId="7" xfId="0" applyNumberFormat="1" applyFill="1" applyBorder="1" applyAlignment="1">
      <alignment horizontal="right" vertical="top"/>
    </xf>
    <xf numFmtId="164" fontId="0" fillId="2" borderId="0" xfId="0" applyNumberFormat="1" applyFill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7" xfId="0" applyFill="1" applyBorder="1" applyAlignment="1">
      <alignment horizontal="right" vertical="top"/>
    </xf>
    <xf numFmtId="164" fontId="0" fillId="3" borderId="7" xfId="0" applyNumberFormat="1" applyFill="1" applyBorder="1" applyAlignment="1">
      <alignment horizontal="left" vertical="top"/>
    </xf>
    <xf numFmtId="2" fontId="0" fillId="3" borderId="7" xfId="0" applyNumberFormat="1" applyFill="1" applyBorder="1" applyAlignment="1">
      <alignment horizontal="right" vertical="top"/>
    </xf>
    <xf numFmtId="164" fontId="0" fillId="3" borderId="0" xfId="0" applyNumberFormat="1" applyFill="1" applyAlignment="1">
      <alignment horizontal="left" vertical="top"/>
    </xf>
    <xf numFmtId="0" fontId="0" fillId="3" borderId="0" xfId="0" applyFill="1"/>
  </cellXfs>
  <cellStyles count="1">
    <cellStyle name="Normal" xfId="0" builtinId="0"/>
  </cellStyles>
  <dxfs count="11">
    <dxf>
      <numFmt numFmtId="164" formatCode="_(\$* ###,###,##0.00_);_(\$* \(###,###,##0.00\);_(\$* &quot;&quot;\-&quot;&quot;??_);_(@_)"/>
      <fill>
        <patternFill patternType="solid">
          <fgColor auto="1"/>
          <bgColor rgb="FFFFFFFF"/>
        </patternFill>
      </fill>
    </dxf>
    <dxf>
      <numFmt numFmtId="2" formatCode="0.00"/>
      <fill>
        <patternFill patternType="solid">
          <fgColor auto="1"/>
          <bgColor rgb="FFFFFFFF"/>
        </patternFill>
      </fill>
      <border>
        <right style="thin">
          <color rgb="FFD3D3D3"/>
        </right>
      </border>
    </dxf>
    <dxf>
      <numFmt numFmtId="164" formatCode="_(\$* ###,###,##0.00_);_(\$* \(###,###,##0.00\);_(\$* &quot;&quot;\-&quot;&quot;??_);_(@_)"/>
      <fill>
        <patternFill patternType="solid">
          <fgColor auto="1"/>
          <bgColor rgb="FFFFFFFF"/>
        </patternFill>
      </fill>
      <border>
        <right style="thin">
          <color rgb="FFD3D3D3"/>
        </right>
      </border>
    </dxf>
    <dxf>
      <fill>
        <patternFill patternType="solid">
          <fgColor auto="1"/>
          <bgColor rgb="FFFFFFFF"/>
        </patternFill>
      </fill>
      <border>
        <right style="thin">
          <color rgb="FFD3D3D3"/>
        </right>
      </border>
    </dxf>
    <dxf>
      <fill>
        <patternFill patternType="solid">
          <fgColor auto="1"/>
          <bgColor rgb="FFFFFFFF"/>
        </patternFill>
      </fill>
      <border>
        <right style="thin">
          <color rgb="FFD3D3D3"/>
        </right>
      </border>
    </dxf>
    <dxf>
      <fill>
        <patternFill patternType="solid">
          <fgColor auto="1"/>
          <bgColor rgb="FFFFFFFF"/>
        </patternFill>
      </fill>
      <border>
        <right style="thin">
          <color rgb="FFD3D3D3"/>
        </right>
      </border>
    </dxf>
    <dxf>
      <fill>
        <patternFill patternType="solid">
          <fgColor auto="1"/>
          <bgColor rgb="FFFFFFFF"/>
        </patternFill>
      </fill>
      <border>
        <right style="thin">
          <color rgb="FFD3D3D3"/>
        </right>
      </border>
    </dxf>
    <dxf>
      <fill>
        <patternFill patternType="solid">
          <fgColor auto="1"/>
          <bgColor rgb="FFFFFFFF"/>
        </patternFill>
      </fill>
      <border>
        <right style="thin">
          <color rgb="FFD3D3D3"/>
        </right>
      </border>
    </dxf>
    <dxf>
      <fill>
        <patternFill patternType="solid">
          <fgColor auto="1"/>
          <bgColor rgb="FFFFFFFF"/>
        </patternFill>
      </fill>
      <border>
        <right style="thin">
          <color rgb="FFD3D3D3"/>
        </right>
      </border>
    </dxf>
    <dxf>
      <fill>
        <patternFill patternType="solid">
          <fgColor auto="1"/>
          <bgColor rgb="FFFFFFFF"/>
        </patternFill>
      </fill>
      <border>
        <right style="thin">
          <color rgb="FFD3D3D3"/>
        </right>
      </border>
    </dxf>
    <dxf>
      <fill>
        <patternFill patternType="solid">
          <fgColor auto="1"/>
          <bgColor rgb="FFFFFFFF"/>
        </patternFill>
      </fill>
      <border>
        <right style="thin">
          <color rgb="FFD3D3D3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267075" cy="4667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267075" cy="46672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4:K84" totalsRowShown="0">
  <autoFilter ref="A14:K84" xr:uid="{00000000-0009-0000-0100-000001000000}"/>
  <tableColumns count="11">
    <tableColumn id="1" xr3:uid="{00000000-0010-0000-0000-000001000000}" name="Customer ID" dataDxfId="10"/>
    <tableColumn id="2" xr3:uid="{00000000-0010-0000-0000-000002000000}" name="Customer Name" dataDxfId="9"/>
    <tableColumn id="3" xr3:uid="{00000000-0010-0000-0000-000003000000}" name="Subscription ID" dataDxfId="8"/>
    <tableColumn id="4" xr3:uid="{00000000-0010-0000-0000-000004000000}" name="Description" dataDxfId="7"/>
    <tableColumn id="5" xr3:uid="{00000000-0010-0000-0000-000005000000}" name="Meter Description" dataDxfId="6"/>
    <tableColumn id="6" xr3:uid="{00000000-0010-0000-0000-000006000000}" name="Domain Name" dataDxfId="5"/>
    <tableColumn id="7" xr3:uid="{00000000-0010-0000-0000-000007000000}" name="Charge Start Date" dataDxfId="4"/>
    <tableColumn id="8" xr3:uid="{00000000-0010-0000-0000-000008000000}" name="Charge End Date" dataDxfId="3"/>
    <tableColumn id="9" xr3:uid="{00000000-0010-0000-0000-000009000000}" name="Unit Price" dataDxfId="2"/>
    <tableColumn id="10" xr3:uid="{00000000-0010-0000-0000-00000A000000}" name="QTY" dataDxfId="1"/>
    <tableColumn id="11" xr3:uid="{00000000-0010-0000-0000-00000B000000}" name="Total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workbookViewId="0">
      <pane xSplit="3" ySplit="14" topLeftCell="D72" activePane="bottomRight" state="frozen"/>
      <selection pane="bottomRight" activeCell="D78" sqref="D78"/>
      <selection pane="bottomLeft" activeCell="A15" sqref="A15"/>
      <selection pane="topRight" activeCell="D1" sqref="D1"/>
    </sheetView>
  </sheetViews>
  <sheetFormatPr defaultRowHeight="14.45"/>
  <cols>
    <col min="1" max="2" width="20.7109375" customWidth="1"/>
    <col min="3" max="3" width="28.85546875" customWidth="1"/>
    <col min="4" max="4" width="57.7109375" customWidth="1"/>
    <col min="5" max="5" width="85.28515625" customWidth="1"/>
    <col min="6" max="6" width="20.7109375" customWidth="1"/>
    <col min="7" max="8" width="20.7109375" style="3" customWidth="1"/>
    <col min="9" max="9" width="20.7109375" style="1" customWidth="1"/>
    <col min="10" max="10" width="20.7109375" style="2" customWidth="1"/>
    <col min="11" max="11" width="20.7109375" style="1" customWidth="1"/>
  </cols>
  <sheetData>
    <row r="1" spans="1:11" s="6" customFormat="1">
      <c r="A1" s="5"/>
      <c r="G1" s="7"/>
      <c r="H1" s="7"/>
      <c r="I1" s="8"/>
      <c r="J1" s="9"/>
      <c r="K1" s="10" t="s">
        <v>0</v>
      </c>
    </row>
    <row r="2" spans="1:11" s="6" customFormat="1" ht="21">
      <c r="A2" s="5"/>
      <c r="E2" s="11" t="s">
        <v>1</v>
      </c>
      <c r="G2" s="7"/>
      <c r="H2" s="7"/>
      <c r="I2" s="8"/>
      <c r="J2" s="9"/>
      <c r="K2" s="10" t="s">
        <v>2</v>
      </c>
    </row>
    <row r="3" spans="1:11" s="6" customFormat="1">
      <c r="A3" s="5"/>
      <c r="G3" s="7"/>
      <c r="H3" s="7"/>
      <c r="I3" s="8"/>
      <c r="J3" s="9"/>
      <c r="K3" s="8"/>
    </row>
    <row r="4" spans="1:11" s="6" customFormat="1">
      <c r="A4" s="12" t="s">
        <v>3</v>
      </c>
      <c r="B4" s="13" t="s">
        <v>4</v>
      </c>
      <c r="G4" s="7"/>
      <c r="H4" s="7"/>
      <c r="I4" s="8"/>
      <c r="J4" s="9"/>
      <c r="K4" s="8"/>
    </row>
    <row r="5" spans="1:11" s="6" customFormat="1">
      <c r="A5" s="12" t="s">
        <v>5</v>
      </c>
      <c r="B5" s="13" t="s">
        <v>6</v>
      </c>
      <c r="G5" s="7"/>
      <c r="H5" s="7"/>
      <c r="I5" s="8"/>
      <c r="J5" s="9"/>
      <c r="K5" s="8"/>
    </row>
    <row r="6" spans="1:11" s="6" customFormat="1">
      <c r="A6" s="12" t="s">
        <v>7</v>
      </c>
      <c r="B6" s="14">
        <f>SUM(K14:K84)</f>
        <v>1811.9075999999998</v>
      </c>
      <c r="G6" s="7"/>
      <c r="H6" s="7"/>
      <c r="I6" s="8"/>
      <c r="J6" s="9"/>
      <c r="K6" s="8"/>
    </row>
    <row r="7" spans="1:11" s="6" customFormat="1">
      <c r="A7" s="12"/>
      <c r="B7" s="13"/>
      <c r="G7" s="7"/>
      <c r="H7" s="7"/>
      <c r="I7" s="8"/>
      <c r="J7" s="9"/>
      <c r="K7" s="8"/>
    </row>
    <row r="8" spans="1:11" s="6" customFormat="1">
      <c r="A8" s="12" t="s">
        <v>8</v>
      </c>
      <c r="B8" s="15" t="s">
        <v>9</v>
      </c>
      <c r="G8" s="7"/>
      <c r="H8" s="7"/>
      <c r="I8" s="8"/>
      <c r="J8" s="9"/>
      <c r="K8" s="8"/>
    </row>
    <row r="9" spans="1:11" s="6" customFormat="1">
      <c r="A9" s="12" t="s">
        <v>10</v>
      </c>
      <c r="B9" s="15">
        <v>62665179</v>
      </c>
      <c r="G9" s="7"/>
      <c r="H9" s="7"/>
      <c r="I9" s="8"/>
      <c r="J9" s="9"/>
      <c r="K9" s="8"/>
    </row>
    <row r="10" spans="1:11" s="6" customFormat="1">
      <c r="A10" s="12" t="s">
        <v>11</v>
      </c>
      <c r="B10" s="15">
        <v>23131882.300000001</v>
      </c>
      <c r="G10" s="7"/>
      <c r="H10" s="7"/>
      <c r="I10" s="8"/>
      <c r="J10" s="9"/>
      <c r="K10" s="8"/>
    </row>
    <row r="11" spans="1:11" s="6" customFormat="1">
      <c r="A11" s="12" t="s">
        <v>12</v>
      </c>
      <c r="B11" s="13" t="s">
        <v>13</v>
      </c>
      <c r="G11" s="7"/>
      <c r="H11" s="7"/>
      <c r="I11" s="8"/>
      <c r="J11" s="9"/>
      <c r="K11" s="8"/>
    </row>
    <row r="12" spans="1:11" s="6" customFormat="1">
      <c r="A12" s="12" t="s">
        <v>14</v>
      </c>
      <c r="B12" s="13" t="s">
        <v>15</v>
      </c>
      <c r="G12" s="7"/>
      <c r="H12" s="7"/>
      <c r="I12" s="8"/>
      <c r="J12" s="9"/>
      <c r="K12" s="8"/>
    </row>
    <row r="13" spans="1:11" s="6" customFormat="1">
      <c r="A13" s="16"/>
      <c r="B13" s="17"/>
      <c r="C13" s="17"/>
      <c r="D13" s="17"/>
      <c r="E13" s="17"/>
      <c r="F13" s="17"/>
      <c r="G13" s="18"/>
      <c r="H13" s="18"/>
      <c r="I13" s="19"/>
      <c r="J13" s="20" t="s">
        <v>16</v>
      </c>
      <c r="K13" s="21">
        <f>SUM(K14:K84)</f>
        <v>1811.9075999999998</v>
      </c>
    </row>
    <row r="14" spans="1:11" s="4" customFormat="1">
      <c r="A14" s="22" t="s">
        <v>17</v>
      </c>
      <c r="B14" s="22" t="s">
        <v>3</v>
      </c>
      <c r="C14" s="22" t="s">
        <v>18</v>
      </c>
      <c r="D14" s="22" t="s">
        <v>19</v>
      </c>
      <c r="E14" s="22" t="s">
        <v>20</v>
      </c>
      <c r="F14" s="22" t="s">
        <v>21</v>
      </c>
      <c r="G14" s="22" t="s">
        <v>22</v>
      </c>
      <c r="H14" s="22" t="s">
        <v>23</v>
      </c>
      <c r="I14" s="23" t="s">
        <v>24</v>
      </c>
      <c r="J14" s="24" t="s">
        <v>25</v>
      </c>
      <c r="K14" s="23" t="s">
        <v>26</v>
      </c>
    </row>
    <row r="15" spans="1:11">
      <c r="A15" s="25" t="s">
        <v>9</v>
      </c>
      <c r="B15" s="25" t="s">
        <v>4</v>
      </c>
      <c r="C15" s="25" t="s">
        <v>27</v>
      </c>
      <c r="D15" s="25" t="s">
        <v>28</v>
      </c>
      <c r="E15" s="25" t="s">
        <v>29</v>
      </c>
      <c r="F15" s="25" t="s">
        <v>30</v>
      </c>
      <c r="G15" s="26" t="s">
        <v>31</v>
      </c>
      <c r="H15" s="26" t="s">
        <v>32</v>
      </c>
      <c r="I15" s="27">
        <v>30.528600000000001</v>
      </c>
      <c r="J15" s="28">
        <v>1</v>
      </c>
      <c r="K15" s="29">
        <v>30.528600000000001</v>
      </c>
    </row>
    <row r="16" spans="1:11">
      <c r="A16" s="25" t="s">
        <v>9</v>
      </c>
      <c r="B16" s="25" t="s">
        <v>4</v>
      </c>
      <c r="C16" s="25" t="s">
        <v>27</v>
      </c>
      <c r="D16" s="25" t="s">
        <v>33</v>
      </c>
      <c r="E16" s="25" t="s">
        <v>34</v>
      </c>
      <c r="F16" s="25" t="s">
        <v>30</v>
      </c>
      <c r="G16" s="26" t="s">
        <v>31</v>
      </c>
      <c r="H16" s="26" t="s">
        <v>32</v>
      </c>
      <c r="I16" s="27">
        <v>4.7430000000000003</v>
      </c>
      <c r="J16" s="28">
        <v>1</v>
      </c>
      <c r="K16" s="29">
        <v>4.7430000000000003</v>
      </c>
    </row>
    <row r="17" spans="1:11">
      <c r="A17" s="25" t="s">
        <v>9</v>
      </c>
      <c r="B17" s="25" t="s">
        <v>4</v>
      </c>
      <c r="C17" s="25" t="s">
        <v>27</v>
      </c>
      <c r="D17" s="25" t="s">
        <v>35</v>
      </c>
      <c r="E17" s="25" t="s">
        <v>36</v>
      </c>
      <c r="F17" s="25" t="s">
        <v>30</v>
      </c>
      <c r="G17" s="26" t="s">
        <v>31</v>
      </c>
      <c r="H17" s="26" t="s">
        <v>32</v>
      </c>
      <c r="I17" s="27">
        <v>2.8662000000000001</v>
      </c>
      <c r="J17" s="28">
        <v>1</v>
      </c>
      <c r="K17" s="29">
        <v>2.8662000000000001</v>
      </c>
    </row>
    <row r="18" spans="1:11">
      <c r="A18" s="25" t="s">
        <v>9</v>
      </c>
      <c r="B18" s="25" t="s">
        <v>4</v>
      </c>
      <c r="C18" s="25" t="s">
        <v>27</v>
      </c>
      <c r="D18" s="25" t="s">
        <v>33</v>
      </c>
      <c r="E18" s="25" t="s">
        <v>37</v>
      </c>
      <c r="F18" s="25" t="s">
        <v>30</v>
      </c>
      <c r="G18" s="26" t="s">
        <v>31</v>
      </c>
      <c r="H18" s="26" t="s">
        <v>32</v>
      </c>
      <c r="I18" s="27">
        <v>2.5091999999999999</v>
      </c>
      <c r="J18" s="28">
        <v>1</v>
      </c>
      <c r="K18" s="29">
        <v>2.5091999999999999</v>
      </c>
    </row>
    <row r="19" spans="1:11">
      <c r="A19" s="25" t="s">
        <v>9</v>
      </c>
      <c r="B19" s="25" t="s">
        <v>4</v>
      </c>
      <c r="C19" s="25" t="s">
        <v>27</v>
      </c>
      <c r="D19" s="25" t="s">
        <v>35</v>
      </c>
      <c r="E19" s="25" t="s">
        <v>38</v>
      </c>
      <c r="F19" s="25" t="s">
        <v>30</v>
      </c>
      <c r="G19" s="26" t="s">
        <v>31</v>
      </c>
      <c r="H19" s="26" t="s">
        <v>32</v>
      </c>
      <c r="I19" s="27">
        <v>1.1220000000000001</v>
      </c>
      <c r="J19" s="28">
        <v>1</v>
      </c>
      <c r="K19" s="29">
        <v>1.1220000000000001</v>
      </c>
    </row>
    <row r="20" spans="1:11">
      <c r="A20" s="25" t="s">
        <v>9</v>
      </c>
      <c r="B20" s="25" t="s">
        <v>4</v>
      </c>
      <c r="C20" s="25" t="s">
        <v>27</v>
      </c>
      <c r="D20" s="25" t="s">
        <v>39</v>
      </c>
      <c r="E20" s="25" t="s">
        <v>40</v>
      </c>
      <c r="F20" s="25" t="s">
        <v>30</v>
      </c>
      <c r="G20" s="26" t="s">
        <v>31</v>
      </c>
      <c r="H20" s="26" t="s">
        <v>32</v>
      </c>
      <c r="I20" s="27">
        <v>0.48959999999999998</v>
      </c>
      <c r="J20" s="28">
        <v>1</v>
      </c>
      <c r="K20" s="29">
        <v>0.48959999999999998</v>
      </c>
    </row>
    <row r="21" spans="1:11">
      <c r="A21" s="25" t="s">
        <v>9</v>
      </c>
      <c r="B21" s="25" t="s">
        <v>4</v>
      </c>
      <c r="C21" s="25" t="s">
        <v>27</v>
      </c>
      <c r="D21" s="25" t="s">
        <v>41</v>
      </c>
      <c r="E21" s="25" t="s">
        <v>42</v>
      </c>
      <c r="F21" s="25" t="s">
        <v>30</v>
      </c>
      <c r="G21" s="26" t="s">
        <v>31</v>
      </c>
      <c r="H21" s="26" t="s">
        <v>32</v>
      </c>
      <c r="I21" s="27">
        <v>4.0800000000000003E-2</v>
      </c>
      <c r="J21" s="28">
        <v>1</v>
      </c>
      <c r="K21" s="29">
        <v>4.0800000000000003E-2</v>
      </c>
    </row>
    <row r="22" spans="1:11">
      <c r="A22" s="25" t="s">
        <v>9</v>
      </c>
      <c r="B22" s="25" t="s">
        <v>4</v>
      </c>
      <c r="C22" s="25" t="s">
        <v>27</v>
      </c>
      <c r="D22" s="25" t="s">
        <v>39</v>
      </c>
      <c r="E22" s="25" t="s">
        <v>43</v>
      </c>
      <c r="F22" s="25" t="s">
        <v>30</v>
      </c>
      <c r="G22" s="26" t="s">
        <v>31</v>
      </c>
      <c r="H22" s="26" t="s">
        <v>32</v>
      </c>
      <c r="I22" s="27">
        <v>4.0800000000000003E-2</v>
      </c>
      <c r="J22" s="28">
        <v>1</v>
      </c>
      <c r="K22" s="29">
        <v>4.0800000000000003E-2</v>
      </c>
    </row>
    <row r="23" spans="1:11">
      <c r="A23" s="25" t="s">
        <v>9</v>
      </c>
      <c r="B23" s="25" t="s">
        <v>4</v>
      </c>
      <c r="C23" s="25" t="s">
        <v>27</v>
      </c>
      <c r="D23" s="25" t="s">
        <v>41</v>
      </c>
      <c r="E23" s="25" t="s">
        <v>44</v>
      </c>
      <c r="F23" s="25" t="s">
        <v>30</v>
      </c>
      <c r="G23" s="26" t="s">
        <v>31</v>
      </c>
      <c r="H23" s="26" t="s">
        <v>32</v>
      </c>
      <c r="I23" s="27">
        <v>3.0599999999999999E-2</v>
      </c>
      <c r="J23" s="28">
        <v>1</v>
      </c>
      <c r="K23" s="29">
        <v>3.0599999999999999E-2</v>
      </c>
    </row>
    <row r="24" spans="1:11">
      <c r="A24" s="25" t="s">
        <v>9</v>
      </c>
      <c r="B24" s="25" t="s">
        <v>4</v>
      </c>
      <c r="C24" s="25" t="s">
        <v>27</v>
      </c>
      <c r="D24" s="25" t="s">
        <v>28</v>
      </c>
      <c r="E24" s="25" t="s">
        <v>45</v>
      </c>
      <c r="F24" s="25" t="s">
        <v>30</v>
      </c>
      <c r="G24" s="26" t="s">
        <v>31</v>
      </c>
      <c r="H24" s="26" t="s">
        <v>32</v>
      </c>
      <c r="I24" s="27">
        <v>2.0400000000000001E-2</v>
      </c>
      <c r="J24" s="28">
        <v>1</v>
      </c>
      <c r="K24" s="29">
        <v>2.0400000000000001E-2</v>
      </c>
    </row>
    <row r="25" spans="1:11">
      <c r="A25" s="25" t="s">
        <v>9</v>
      </c>
      <c r="B25" s="25" t="s">
        <v>4</v>
      </c>
      <c r="C25" s="25" t="s">
        <v>27</v>
      </c>
      <c r="D25" s="25" t="s">
        <v>41</v>
      </c>
      <c r="E25" s="25" t="s">
        <v>46</v>
      </c>
      <c r="F25" s="25" t="s">
        <v>30</v>
      </c>
      <c r="G25" s="26" t="s">
        <v>31</v>
      </c>
      <c r="H25" s="26" t="s">
        <v>32</v>
      </c>
      <c r="I25" s="27">
        <v>2.0400000000000001E-2</v>
      </c>
      <c r="J25" s="28">
        <v>1</v>
      </c>
      <c r="K25" s="29">
        <v>2.0400000000000001E-2</v>
      </c>
    </row>
    <row r="26" spans="1:11">
      <c r="A26" s="25" t="s">
        <v>9</v>
      </c>
      <c r="B26" s="25" t="s">
        <v>4</v>
      </c>
      <c r="C26" s="25" t="s">
        <v>27</v>
      </c>
      <c r="D26" s="25" t="s">
        <v>41</v>
      </c>
      <c r="E26" s="25" t="s">
        <v>47</v>
      </c>
      <c r="F26" s="25" t="s">
        <v>30</v>
      </c>
      <c r="G26" s="26" t="s">
        <v>31</v>
      </c>
      <c r="H26" s="26" t="s">
        <v>32</v>
      </c>
      <c r="I26" s="27">
        <v>1.0200000000000001E-2</v>
      </c>
      <c r="J26" s="28">
        <v>1</v>
      </c>
      <c r="K26" s="29">
        <v>1.0200000000000001E-2</v>
      </c>
    </row>
    <row r="27" spans="1:11">
      <c r="A27" s="25" t="s">
        <v>9</v>
      </c>
      <c r="B27" s="25" t="s">
        <v>4</v>
      </c>
      <c r="C27" s="25" t="s">
        <v>27</v>
      </c>
      <c r="D27" s="25" t="s">
        <v>41</v>
      </c>
      <c r="E27" s="25" t="s">
        <v>48</v>
      </c>
      <c r="F27" s="25" t="s">
        <v>30</v>
      </c>
      <c r="G27" s="26" t="s">
        <v>31</v>
      </c>
      <c r="H27" s="26" t="s">
        <v>32</v>
      </c>
      <c r="I27" s="27">
        <v>0</v>
      </c>
      <c r="J27" s="28">
        <v>1</v>
      </c>
      <c r="K27" s="29">
        <v>0</v>
      </c>
    </row>
    <row r="28" spans="1:11">
      <c r="A28" s="25" t="s">
        <v>9</v>
      </c>
      <c r="B28" s="25" t="s">
        <v>4</v>
      </c>
      <c r="C28" s="25" t="s">
        <v>27</v>
      </c>
      <c r="D28" s="25" t="s">
        <v>41</v>
      </c>
      <c r="E28" s="25" t="s">
        <v>49</v>
      </c>
      <c r="F28" s="25" t="s">
        <v>30</v>
      </c>
      <c r="G28" s="26" t="s">
        <v>31</v>
      </c>
      <c r="H28" s="26" t="s">
        <v>32</v>
      </c>
      <c r="I28" s="27">
        <v>0</v>
      </c>
      <c r="J28" s="28">
        <v>1</v>
      </c>
      <c r="K28" s="29">
        <v>0</v>
      </c>
    </row>
    <row r="29" spans="1:11">
      <c r="A29" s="25" t="s">
        <v>9</v>
      </c>
      <c r="B29" s="25" t="s">
        <v>4</v>
      </c>
      <c r="C29" s="25" t="s">
        <v>27</v>
      </c>
      <c r="D29" s="25" t="s">
        <v>50</v>
      </c>
      <c r="E29" s="25" t="s">
        <v>51</v>
      </c>
      <c r="F29" s="25" t="s">
        <v>30</v>
      </c>
      <c r="G29" s="26" t="s">
        <v>31</v>
      </c>
      <c r="H29" s="26" t="s">
        <v>32</v>
      </c>
      <c r="I29" s="27">
        <v>0</v>
      </c>
      <c r="J29" s="28">
        <v>1</v>
      </c>
      <c r="K29" s="29">
        <v>0</v>
      </c>
    </row>
    <row r="30" spans="1:11">
      <c r="A30" s="25" t="s">
        <v>9</v>
      </c>
      <c r="B30" s="25" t="s">
        <v>4</v>
      </c>
      <c r="C30" s="25" t="s">
        <v>27</v>
      </c>
      <c r="D30" s="25" t="s">
        <v>41</v>
      </c>
      <c r="E30" s="25" t="s">
        <v>52</v>
      </c>
      <c r="F30" s="25" t="s">
        <v>30</v>
      </c>
      <c r="G30" s="26" t="s">
        <v>31</v>
      </c>
      <c r="H30" s="26" t="s">
        <v>32</v>
      </c>
      <c r="I30" s="27">
        <v>0</v>
      </c>
      <c r="J30" s="28">
        <v>1</v>
      </c>
      <c r="K30" s="29">
        <v>0</v>
      </c>
    </row>
    <row r="31" spans="1:11">
      <c r="A31" s="25" t="s">
        <v>9</v>
      </c>
      <c r="B31" s="25" t="s">
        <v>4</v>
      </c>
      <c r="C31" s="25" t="s">
        <v>27</v>
      </c>
      <c r="D31" s="25" t="s">
        <v>53</v>
      </c>
      <c r="E31" s="25" t="s">
        <v>54</v>
      </c>
      <c r="F31" s="25" t="s">
        <v>30</v>
      </c>
      <c r="G31" s="26" t="s">
        <v>31</v>
      </c>
      <c r="H31" s="26" t="s">
        <v>32</v>
      </c>
      <c r="I31" s="27">
        <v>0</v>
      </c>
      <c r="J31" s="28">
        <v>1</v>
      </c>
      <c r="K31" s="29">
        <v>0</v>
      </c>
    </row>
    <row r="32" spans="1:11">
      <c r="A32" s="25" t="s">
        <v>9</v>
      </c>
      <c r="B32" s="25" t="s">
        <v>4</v>
      </c>
      <c r="C32" s="25" t="s">
        <v>27</v>
      </c>
      <c r="D32" s="25" t="s">
        <v>50</v>
      </c>
      <c r="E32" s="25" t="s">
        <v>55</v>
      </c>
      <c r="F32" s="25" t="s">
        <v>30</v>
      </c>
      <c r="G32" s="26" t="s">
        <v>31</v>
      </c>
      <c r="H32" s="26" t="s">
        <v>32</v>
      </c>
      <c r="I32" s="27">
        <v>0</v>
      </c>
      <c r="J32" s="28">
        <v>1</v>
      </c>
      <c r="K32" s="29">
        <v>0</v>
      </c>
    </row>
    <row r="33" spans="1:11">
      <c r="A33" s="25" t="s">
        <v>9</v>
      </c>
      <c r="B33" s="25" t="s">
        <v>4</v>
      </c>
      <c r="C33" s="25" t="s">
        <v>27</v>
      </c>
      <c r="D33" s="25" t="s">
        <v>56</v>
      </c>
      <c r="E33" s="25" t="s">
        <v>57</v>
      </c>
      <c r="F33" s="25" t="s">
        <v>30</v>
      </c>
      <c r="G33" s="26" t="s">
        <v>31</v>
      </c>
      <c r="H33" s="26" t="s">
        <v>32</v>
      </c>
      <c r="I33" s="27">
        <v>2.7233999999999998</v>
      </c>
      <c r="J33" s="28">
        <v>1</v>
      </c>
      <c r="K33" s="29">
        <v>2.7233999999999998</v>
      </c>
    </row>
    <row r="34" spans="1:11">
      <c r="A34" s="25" t="s">
        <v>9</v>
      </c>
      <c r="B34" s="25" t="s">
        <v>4</v>
      </c>
      <c r="C34" s="25" t="s">
        <v>27</v>
      </c>
      <c r="D34" s="25" t="s">
        <v>56</v>
      </c>
      <c r="E34" s="25" t="s">
        <v>58</v>
      </c>
      <c r="F34" s="25" t="s">
        <v>30</v>
      </c>
      <c r="G34" s="26" t="s">
        <v>31</v>
      </c>
      <c r="H34" s="26" t="s">
        <v>32</v>
      </c>
      <c r="I34" s="27">
        <v>0.20399999999999999</v>
      </c>
      <c r="J34" s="28">
        <v>1</v>
      </c>
      <c r="K34" s="29">
        <v>0.20399999999999999</v>
      </c>
    </row>
    <row r="35" spans="1:11">
      <c r="A35" s="25" t="s">
        <v>9</v>
      </c>
      <c r="B35" s="25" t="s">
        <v>4</v>
      </c>
      <c r="C35" s="25" t="s">
        <v>27</v>
      </c>
      <c r="D35" s="25" t="s">
        <v>56</v>
      </c>
      <c r="E35" s="25" t="s">
        <v>59</v>
      </c>
      <c r="F35" s="25" t="s">
        <v>30</v>
      </c>
      <c r="G35" s="26" t="s">
        <v>31</v>
      </c>
      <c r="H35" s="26" t="s">
        <v>32</v>
      </c>
      <c r="I35" s="27">
        <v>0</v>
      </c>
      <c r="J35" s="28">
        <v>1</v>
      </c>
      <c r="K35" s="29">
        <v>0</v>
      </c>
    </row>
    <row r="36" spans="1:11">
      <c r="A36" s="25" t="s">
        <v>9</v>
      </c>
      <c r="B36" s="25" t="s">
        <v>4</v>
      </c>
      <c r="C36" s="25" t="s">
        <v>27</v>
      </c>
      <c r="D36" s="25" t="s">
        <v>60</v>
      </c>
      <c r="E36" s="25" t="s">
        <v>61</v>
      </c>
      <c r="F36" s="25" t="s">
        <v>30</v>
      </c>
      <c r="G36" s="26" t="s">
        <v>31</v>
      </c>
      <c r="H36" s="26" t="s">
        <v>32</v>
      </c>
      <c r="I36" s="27">
        <v>0</v>
      </c>
      <c r="J36" s="28">
        <v>1</v>
      </c>
      <c r="K36" s="29">
        <v>0</v>
      </c>
    </row>
    <row r="37" spans="1:11">
      <c r="A37" s="25" t="s">
        <v>9</v>
      </c>
      <c r="B37" s="25" t="s">
        <v>4</v>
      </c>
      <c r="C37" s="25" t="s">
        <v>27</v>
      </c>
      <c r="D37" s="25" t="s">
        <v>62</v>
      </c>
      <c r="E37" s="25" t="s">
        <v>63</v>
      </c>
      <c r="F37" s="25" t="s">
        <v>30</v>
      </c>
      <c r="G37" s="26" t="s">
        <v>31</v>
      </c>
      <c r="H37" s="26" t="s">
        <v>32</v>
      </c>
      <c r="I37" s="27">
        <v>0</v>
      </c>
      <c r="J37" s="28">
        <v>1</v>
      </c>
      <c r="K37" s="29">
        <v>0</v>
      </c>
    </row>
    <row r="38" spans="1:11">
      <c r="A38" s="25" t="s">
        <v>9</v>
      </c>
      <c r="B38" s="25" t="s">
        <v>4</v>
      </c>
      <c r="C38" s="25" t="s">
        <v>27</v>
      </c>
      <c r="D38" s="25" t="s">
        <v>64</v>
      </c>
      <c r="E38" s="25" t="s">
        <v>65</v>
      </c>
      <c r="F38" s="25" t="s">
        <v>30</v>
      </c>
      <c r="G38" s="26" t="s">
        <v>31</v>
      </c>
      <c r="H38" s="26" t="s">
        <v>32</v>
      </c>
      <c r="I38" s="27">
        <v>0.91800000000000004</v>
      </c>
      <c r="J38" s="28">
        <v>1</v>
      </c>
      <c r="K38" s="29">
        <v>0.91800000000000004</v>
      </c>
    </row>
    <row r="39" spans="1:11">
      <c r="A39" s="25" t="s">
        <v>9</v>
      </c>
      <c r="B39" s="25" t="s">
        <v>4</v>
      </c>
      <c r="C39" s="25" t="s">
        <v>27</v>
      </c>
      <c r="D39" s="25" t="s">
        <v>64</v>
      </c>
      <c r="E39" s="25" t="s">
        <v>66</v>
      </c>
      <c r="F39" s="25" t="s">
        <v>30</v>
      </c>
      <c r="G39" s="26" t="s">
        <v>31</v>
      </c>
      <c r="H39" s="26" t="s">
        <v>32</v>
      </c>
      <c r="I39" s="27">
        <v>5.0999999999999997E-2</v>
      </c>
      <c r="J39" s="28">
        <v>1</v>
      </c>
      <c r="K39" s="29">
        <v>5.0999999999999997E-2</v>
      </c>
    </row>
    <row r="40" spans="1:11">
      <c r="A40" s="25" t="s">
        <v>9</v>
      </c>
      <c r="B40" s="25" t="s">
        <v>4</v>
      </c>
      <c r="C40" s="25" t="s">
        <v>27</v>
      </c>
      <c r="D40" s="25" t="s">
        <v>64</v>
      </c>
      <c r="E40" s="25" t="s">
        <v>67</v>
      </c>
      <c r="F40" s="25" t="s">
        <v>30</v>
      </c>
      <c r="G40" s="26" t="s">
        <v>31</v>
      </c>
      <c r="H40" s="26" t="s">
        <v>32</v>
      </c>
      <c r="I40" s="27">
        <v>4.0800000000000003E-2</v>
      </c>
      <c r="J40" s="28">
        <v>1</v>
      </c>
      <c r="K40" s="29">
        <v>4.0800000000000003E-2</v>
      </c>
    </row>
    <row r="41" spans="1:11">
      <c r="A41" s="25" t="s">
        <v>9</v>
      </c>
      <c r="B41" s="25" t="s">
        <v>4</v>
      </c>
      <c r="C41" s="25" t="s">
        <v>27</v>
      </c>
      <c r="D41" s="25" t="s">
        <v>64</v>
      </c>
      <c r="E41" s="25" t="s">
        <v>68</v>
      </c>
      <c r="F41" s="25" t="s">
        <v>30</v>
      </c>
      <c r="G41" s="26" t="s">
        <v>31</v>
      </c>
      <c r="H41" s="26" t="s">
        <v>32</v>
      </c>
      <c r="I41" s="27">
        <v>1.0200000000000001E-2</v>
      </c>
      <c r="J41" s="28">
        <v>1</v>
      </c>
      <c r="K41" s="29">
        <v>1.0200000000000001E-2</v>
      </c>
    </row>
    <row r="42" spans="1:11" s="35" customFormat="1">
      <c r="A42" s="30" t="s">
        <v>9</v>
      </c>
      <c r="B42" s="30" t="s">
        <v>4</v>
      </c>
      <c r="C42" s="30" t="s">
        <v>27</v>
      </c>
      <c r="D42" s="30" t="s">
        <v>69</v>
      </c>
      <c r="E42" s="30" t="s">
        <v>70</v>
      </c>
      <c r="F42" s="30" t="s">
        <v>30</v>
      </c>
      <c r="G42" s="31" t="s">
        <v>31</v>
      </c>
      <c r="H42" s="31" t="s">
        <v>32</v>
      </c>
      <c r="I42" s="32">
        <v>710.02200000000005</v>
      </c>
      <c r="J42" s="33">
        <v>1</v>
      </c>
      <c r="K42" s="34">
        <v>710.02200000000005</v>
      </c>
    </row>
    <row r="43" spans="1:11">
      <c r="A43" s="25" t="s">
        <v>9</v>
      </c>
      <c r="B43" s="25" t="s">
        <v>4</v>
      </c>
      <c r="C43" s="25" t="s">
        <v>27</v>
      </c>
      <c r="D43" s="25" t="s">
        <v>71</v>
      </c>
      <c r="E43" s="25" t="s">
        <v>72</v>
      </c>
      <c r="F43" s="25" t="s">
        <v>30</v>
      </c>
      <c r="G43" s="26" t="s">
        <v>31</v>
      </c>
      <c r="H43" s="26" t="s">
        <v>32</v>
      </c>
      <c r="I43" s="27">
        <v>102.21420000000001</v>
      </c>
      <c r="J43" s="28">
        <v>1</v>
      </c>
      <c r="K43" s="29">
        <v>102.21420000000001</v>
      </c>
    </row>
    <row r="44" spans="1:11">
      <c r="A44" s="25" t="s">
        <v>9</v>
      </c>
      <c r="B44" s="25" t="s">
        <v>4</v>
      </c>
      <c r="C44" s="25" t="s">
        <v>27</v>
      </c>
      <c r="D44" s="25" t="s">
        <v>73</v>
      </c>
      <c r="E44" s="25" t="s">
        <v>74</v>
      </c>
      <c r="F44" s="25" t="s">
        <v>30</v>
      </c>
      <c r="G44" s="26" t="s">
        <v>31</v>
      </c>
      <c r="H44" s="26" t="s">
        <v>32</v>
      </c>
      <c r="I44" s="27">
        <v>1.1934</v>
      </c>
      <c r="J44" s="28">
        <v>1</v>
      </c>
      <c r="K44" s="29">
        <v>1.1934</v>
      </c>
    </row>
    <row r="45" spans="1:11">
      <c r="A45" s="25" t="s">
        <v>9</v>
      </c>
      <c r="B45" s="25" t="s">
        <v>4</v>
      </c>
      <c r="C45" s="25" t="s">
        <v>27</v>
      </c>
      <c r="D45" s="25" t="s">
        <v>75</v>
      </c>
      <c r="E45" s="25" t="s">
        <v>76</v>
      </c>
      <c r="F45" s="25" t="s">
        <v>30</v>
      </c>
      <c r="G45" s="26" t="s">
        <v>31</v>
      </c>
      <c r="H45" s="26" t="s">
        <v>32</v>
      </c>
      <c r="I45" s="27">
        <v>8.1600000000000006E-2</v>
      </c>
      <c r="J45" s="28">
        <v>1</v>
      </c>
      <c r="K45" s="29">
        <v>8.1600000000000006E-2</v>
      </c>
    </row>
    <row r="46" spans="1:11">
      <c r="A46" s="25" t="s">
        <v>9</v>
      </c>
      <c r="B46" s="25" t="s">
        <v>4</v>
      </c>
      <c r="C46" s="25" t="s">
        <v>27</v>
      </c>
      <c r="D46" s="25" t="s">
        <v>77</v>
      </c>
      <c r="E46" s="25" t="s">
        <v>78</v>
      </c>
      <c r="F46" s="25" t="s">
        <v>30</v>
      </c>
      <c r="G46" s="26" t="s">
        <v>31</v>
      </c>
      <c r="H46" s="26" t="s">
        <v>32</v>
      </c>
      <c r="I46" s="27">
        <v>0</v>
      </c>
      <c r="J46" s="28">
        <v>1</v>
      </c>
      <c r="K46" s="29">
        <v>0</v>
      </c>
    </row>
    <row r="47" spans="1:11">
      <c r="A47" s="25" t="s">
        <v>9</v>
      </c>
      <c r="B47" s="25" t="s">
        <v>4</v>
      </c>
      <c r="C47" s="25" t="s">
        <v>27</v>
      </c>
      <c r="D47" s="25" t="s">
        <v>79</v>
      </c>
      <c r="E47" s="25" t="s">
        <v>80</v>
      </c>
      <c r="F47" s="25" t="s">
        <v>30</v>
      </c>
      <c r="G47" s="26" t="s">
        <v>31</v>
      </c>
      <c r="H47" s="26" t="s">
        <v>32</v>
      </c>
      <c r="I47" s="27">
        <v>0</v>
      </c>
      <c r="J47" s="28">
        <v>1</v>
      </c>
      <c r="K47" s="29">
        <v>0</v>
      </c>
    </row>
    <row r="48" spans="1:11">
      <c r="A48" s="25" t="s">
        <v>9</v>
      </c>
      <c r="B48" s="25" t="s">
        <v>4</v>
      </c>
      <c r="C48" s="25" t="s">
        <v>27</v>
      </c>
      <c r="D48" s="25" t="s">
        <v>81</v>
      </c>
      <c r="E48" s="25" t="s">
        <v>82</v>
      </c>
      <c r="F48" s="25" t="s">
        <v>30</v>
      </c>
      <c r="G48" s="26" t="s">
        <v>31</v>
      </c>
      <c r="H48" s="26" t="s">
        <v>32</v>
      </c>
      <c r="I48" s="27">
        <v>0</v>
      </c>
      <c r="J48" s="28">
        <v>1</v>
      </c>
      <c r="K48" s="29">
        <v>0</v>
      </c>
    </row>
    <row r="49" spans="1:11">
      <c r="A49" s="25" t="s">
        <v>9</v>
      </c>
      <c r="B49" s="25" t="s">
        <v>4</v>
      </c>
      <c r="C49" s="25" t="s">
        <v>27</v>
      </c>
      <c r="D49" s="25" t="s">
        <v>83</v>
      </c>
      <c r="E49" s="25" t="s">
        <v>84</v>
      </c>
      <c r="F49" s="25" t="s">
        <v>30</v>
      </c>
      <c r="G49" s="26" t="s">
        <v>31</v>
      </c>
      <c r="H49" s="26" t="s">
        <v>32</v>
      </c>
      <c r="I49" s="27">
        <v>0</v>
      </c>
      <c r="J49" s="28">
        <v>1</v>
      </c>
      <c r="K49" s="29">
        <v>0</v>
      </c>
    </row>
    <row r="50" spans="1:11">
      <c r="A50" s="25" t="s">
        <v>9</v>
      </c>
      <c r="B50" s="25" t="s">
        <v>4</v>
      </c>
      <c r="C50" s="25" t="s">
        <v>27</v>
      </c>
      <c r="D50" s="25" t="s">
        <v>85</v>
      </c>
      <c r="E50" s="25" t="s">
        <v>86</v>
      </c>
      <c r="F50" s="25" t="s">
        <v>30</v>
      </c>
      <c r="G50" s="26" t="s">
        <v>31</v>
      </c>
      <c r="H50" s="26" t="s">
        <v>32</v>
      </c>
      <c r="I50" s="27">
        <v>4.4676</v>
      </c>
      <c r="J50" s="28">
        <v>1</v>
      </c>
      <c r="K50" s="29">
        <v>4.4676</v>
      </c>
    </row>
    <row r="51" spans="1:11">
      <c r="A51" s="25" t="s">
        <v>9</v>
      </c>
      <c r="B51" s="25" t="s">
        <v>4</v>
      </c>
      <c r="C51" s="25" t="s">
        <v>27</v>
      </c>
      <c r="D51" s="25" t="s">
        <v>87</v>
      </c>
      <c r="E51" s="25" t="s">
        <v>88</v>
      </c>
      <c r="F51" s="25" t="s">
        <v>30</v>
      </c>
      <c r="G51" s="26" t="s">
        <v>31</v>
      </c>
      <c r="H51" s="26" t="s">
        <v>32</v>
      </c>
      <c r="I51" s="27">
        <v>3.8759999999999999</v>
      </c>
      <c r="J51" s="28">
        <v>1</v>
      </c>
      <c r="K51" s="29">
        <v>3.8759999999999999</v>
      </c>
    </row>
    <row r="52" spans="1:11">
      <c r="A52" s="25" t="s">
        <v>9</v>
      </c>
      <c r="B52" s="25" t="s">
        <v>4</v>
      </c>
      <c r="C52" s="25" t="s">
        <v>27</v>
      </c>
      <c r="D52" s="25" t="s">
        <v>89</v>
      </c>
      <c r="E52" s="25" t="s">
        <v>90</v>
      </c>
      <c r="F52" s="25" t="s">
        <v>30</v>
      </c>
      <c r="G52" s="26" t="s">
        <v>31</v>
      </c>
      <c r="H52" s="26" t="s">
        <v>32</v>
      </c>
      <c r="I52" s="27">
        <v>5.0999999999999997E-2</v>
      </c>
      <c r="J52" s="28">
        <v>1</v>
      </c>
      <c r="K52" s="29">
        <v>5.0999999999999997E-2</v>
      </c>
    </row>
    <row r="53" spans="1:11">
      <c r="A53" s="25" t="s">
        <v>9</v>
      </c>
      <c r="B53" s="25" t="s">
        <v>4</v>
      </c>
      <c r="C53" s="25" t="s">
        <v>27</v>
      </c>
      <c r="D53" s="25" t="s">
        <v>89</v>
      </c>
      <c r="E53" s="25" t="s">
        <v>90</v>
      </c>
      <c r="F53" s="25" t="s">
        <v>30</v>
      </c>
      <c r="G53" s="26" t="s">
        <v>31</v>
      </c>
      <c r="H53" s="26" t="s">
        <v>32</v>
      </c>
      <c r="I53" s="27">
        <v>0</v>
      </c>
      <c r="J53" s="28">
        <v>1</v>
      </c>
      <c r="K53" s="29">
        <v>0</v>
      </c>
    </row>
    <row r="54" spans="1:11">
      <c r="A54" s="25" t="s">
        <v>9</v>
      </c>
      <c r="B54" s="25" t="s">
        <v>4</v>
      </c>
      <c r="C54" s="25" t="s">
        <v>27</v>
      </c>
      <c r="D54" s="25" t="s">
        <v>91</v>
      </c>
      <c r="E54" s="25" t="s">
        <v>92</v>
      </c>
      <c r="F54" s="25" t="s">
        <v>30</v>
      </c>
      <c r="G54" s="26" t="s">
        <v>31</v>
      </c>
      <c r="H54" s="26" t="s">
        <v>32</v>
      </c>
      <c r="I54" s="27">
        <v>0</v>
      </c>
      <c r="J54" s="28">
        <v>1</v>
      </c>
      <c r="K54" s="29">
        <v>0</v>
      </c>
    </row>
    <row r="55" spans="1:11">
      <c r="A55" s="25" t="s">
        <v>9</v>
      </c>
      <c r="B55" s="25" t="s">
        <v>4</v>
      </c>
      <c r="C55" s="25" t="s">
        <v>27</v>
      </c>
      <c r="D55" s="25" t="s">
        <v>93</v>
      </c>
      <c r="E55" s="25" t="s">
        <v>94</v>
      </c>
      <c r="F55" s="25" t="s">
        <v>30</v>
      </c>
      <c r="G55" s="26" t="s">
        <v>31</v>
      </c>
      <c r="H55" s="26" t="s">
        <v>32</v>
      </c>
      <c r="I55" s="27">
        <v>39.759599999999999</v>
      </c>
      <c r="J55" s="28">
        <v>1</v>
      </c>
      <c r="K55" s="29">
        <v>39.759599999999999</v>
      </c>
    </row>
    <row r="56" spans="1:11">
      <c r="A56" s="25" t="s">
        <v>9</v>
      </c>
      <c r="B56" s="25" t="s">
        <v>4</v>
      </c>
      <c r="C56" s="25" t="s">
        <v>27</v>
      </c>
      <c r="D56" s="25" t="s">
        <v>95</v>
      </c>
      <c r="E56" s="25" t="s">
        <v>96</v>
      </c>
      <c r="F56" s="25" t="s">
        <v>30</v>
      </c>
      <c r="G56" s="26" t="s">
        <v>31</v>
      </c>
      <c r="H56" s="26" t="s">
        <v>32</v>
      </c>
      <c r="I56" s="27">
        <v>15.004200000000001</v>
      </c>
      <c r="J56" s="28">
        <v>1</v>
      </c>
      <c r="K56" s="29">
        <v>15.004200000000001</v>
      </c>
    </row>
    <row r="57" spans="1:11">
      <c r="A57" s="25" t="s">
        <v>9</v>
      </c>
      <c r="B57" s="25" t="s">
        <v>4</v>
      </c>
      <c r="C57" s="25" t="s">
        <v>27</v>
      </c>
      <c r="D57" s="25" t="s">
        <v>97</v>
      </c>
      <c r="E57" s="25" t="s">
        <v>98</v>
      </c>
      <c r="F57" s="25" t="s">
        <v>30</v>
      </c>
      <c r="G57" s="26" t="s">
        <v>31</v>
      </c>
      <c r="H57" s="26" t="s">
        <v>32</v>
      </c>
      <c r="I57" s="27">
        <v>0.35699999999999998</v>
      </c>
      <c r="J57" s="28">
        <v>1</v>
      </c>
      <c r="K57" s="29">
        <v>0.35699999999999998</v>
      </c>
    </row>
    <row r="58" spans="1:11">
      <c r="A58" s="25" t="s">
        <v>9</v>
      </c>
      <c r="B58" s="25" t="s">
        <v>4</v>
      </c>
      <c r="C58" s="25" t="s">
        <v>27</v>
      </c>
      <c r="D58" s="25" t="s">
        <v>99</v>
      </c>
      <c r="E58" s="25" t="s">
        <v>100</v>
      </c>
      <c r="F58" s="25" t="s">
        <v>30</v>
      </c>
      <c r="G58" s="26" t="s">
        <v>31</v>
      </c>
      <c r="H58" s="26" t="s">
        <v>32</v>
      </c>
      <c r="I58" s="27">
        <v>0.14280000000000001</v>
      </c>
      <c r="J58" s="28">
        <v>1</v>
      </c>
      <c r="K58" s="29">
        <v>0.14280000000000001</v>
      </c>
    </row>
    <row r="59" spans="1:11">
      <c r="A59" s="25" t="s">
        <v>9</v>
      </c>
      <c r="B59" s="25" t="s">
        <v>4</v>
      </c>
      <c r="C59" s="25" t="s">
        <v>27</v>
      </c>
      <c r="D59" s="25" t="s">
        <v>99</v>
      </c>
      <c r="E59" s="25" t="s">
        <v>101</v>
      </c>
      <c r="F59" s="25" t="s">
        <v>30</v>
      </c>
      <c r="G59" s="26" t="s">
        <v>31</v>
      </c>
      <c r="H59" s="26" t="s">
        <v>32</v>
      </c>
      <c r="I59" s="27">
        <v>0</v>
      </c>
      <c r="J59" s="28">
        <v>1</v>
      </c>
      <c r="K59" s="29">
        <v>0</v>
      </c>
    </row>
    <row r="60" spans="1:11">
      <c r="A60" s="25" t="s">
        <v>9</v>
      </c>
      <c r="B60" s="25" t="s">
        <v>4</v>
      </c>
      <c r="C60" s="25" t="s">
        <v>27</v>
      </c>
      <c r="D60" s="25" t="s">
        <v>102</v>
      </c>
      <c r="E60" s="25" t="s">
        <v>103</v>
      </c>
      <c r="F60" s="25" t="s">
        <v>30</v>
      </c>
      <c r="G60" s="26" t="s">
        <v>31</v>
      </c>
      <c r="H60" s="26" t="s">
        <v>32</v>
      </c>
      <c r="I60" s="27">
        <v>0</v>
      </c>
      <c r="J60" s="28">
        <v>1</v>
      </c>
      <c r="K60" s="29">
        <v>0</v>
      </c>
    </row>
    <row r="61" spans="1:11">
      <c r="A61" s="25" t="s">
        <v>9</v>
      </c>
      <c r="B61" s="25" t="s">
        <v>4</v>
      </c>
      <c r="C61" s="25" t="s">
        <v>27</v>
      </c>
      <c r="D61" s="25" t="s">
        <v>104</v>
      </c>
      <c r="E61" s="25" t="s">
        <v>105</v>
      </c>
      <c r="F61" s="25" t="s">
        <v>30</v>
      </c>
      <c r="G61" s="26" t="s">
        <v>31</v>
      </c>
      <c r="H61" s="26" t="s">
        <v>32</v>
      </c>
      <c r="I61" s="27">
        <v>0</v>
      </c>
      <c r="J61" s="28">
        <v>1</v>
      </c>
      <c r="K61" s="29">
        <v>0</v>
      </c>
    </row>
    <row r="62" spans="1:11">
      <c r="A62" s="25" t="s">
        <v>9</v>
      </c>
      <c r="B62" s="25" t="s">
        <v>4</v>
      </c>
      <c r="C62" s="25" t="s">
        <v>27</v>
      </c>
      <c r="D62" s="25" t="s">
        <v>102</v>
      </c>
      <c r="E62" s="25" t="s">
        <v>106</v>
      </c>
      <c r="F62" s="25" t="s">
        <v>30</v>
      </c>
      <c r="G62" s="26" t="s">
        <v>31</v>
      </c>
      <c r="H62" s="26" t="s">
        <v>32</v>
      </c>
      <c r="I62" s="27">
        <v>0</v>
      </c>
      <c r="J62" s="28">
        <v>1</v>
      </c>
      <c r="K62" s="29">
        <v>0</v>
      </c>
    </row>
    <row r="63" spans="1:11">
      <c r="A63" s="25" t="s">
        <v>9</v>
      </c>
      <c r="B63" s="25" t="s">
        <v>4</v>
      </c>
      <c r="C63" s="25" t="s">
        <v>27</v>
      </c>
      <c r="D63" s="25" t="s">
        <v>99</v>
      </c>
      <c r="E63" s="25" t="s">
        <v>107</v>
      </c>
      <c r="F63" s="25" t="s">
        <v>30</v>
      </c>
      <c r="G63" s="26" t="s">
        <v>31</v>
      </c>
      <c r="H63" s="26" t="s">
        <v>32</v>
      </c>
      <c r="I63" s="27">
        <v>0</v>
      </c>
      <c r="J63" s="28">
        <v>1</v>
      </c>
      <c r="K63" s="29">
        <v>0</v>
      </c>
    </row>
    <row r="64" spans="1:11">
      <c r="A64" s="25" t="s">
        <v>9</v>
      </c>
      <c r="B64" s="25" t="s">
        <v>4</v>
      </c>
      <c r="C64" s="25" t="s">
        <v>27</v>
      </c>
      <c r="D64" s="25" t="s">
        <v>102</v>
      </c>
      <c r="E64" s="25" t="s">
        <v>108</v>
      </c>
      <c r="F64" s="25" t="s">
        <v>30</v>
      </c>
      <c r="G64" s="26" t="s">
        <v>31</v>
      </c>
      <c r="H64" s="26" t="s">
        <v>32</v>
      </c>
      <c r="I64" s="27">
        <v>0</v>
      </c>
      <c r="J64" s="28">
        <v>1</v>
      </c>
      <c r="K64" s="29">
        <v>0</v>
      </c>
    </row>
    <row r="65" spans="1:11">
      <c r="A65" s="25" t="s">
        <v>9</v>
      </c>
      <c r="B65" s="25" t="s">
        <v>4</v>
      </c>
      <c r="C65" s="25" t="s">
        <v>27</v>
      </c>
      <c r="D65" s="25" t="s">
        <v>102</v>
      </c>
      <c r="E65" s="25" t="s">
        <v>109</v>
      </c>
      <c r="F65" s="25" t="s">
        <v>30</v>
      </c>
      <c r="G65" s="26" t="s">
        <v>31</v>
      </c>
      <c r="H65" s="26" t="s">
        <v>32</v>
      </c>
      <c r="I65" s="27">
        <v>0</v>
      </c>
      <c r="J65" s="28">
        <v>1</v>
      </c>
      <c r="K65" s="29">
        <v>0</v>
      </c>
    </row>
    <row r="66" spans="1:11">
      <c r="A66" s="25" t="s">
        <v>9</v>
      </c>
      <c r="B66" s="25" t="s">
        <v>4</v>
      </c>
      <c r="C66" s="25" t="s">
        <v>27</v>
      </c>
      <c r="D66" s="25" t="s">
        <v>110</v>
      </c>
      <c r="E66" s="25" t="s">
        <v>111</v>
      </c>
      <c r="F66" s="25" t="s">
        <v>30</v>
      </c>
      <c r="G66" s="26" t="s">
        <v>31</v>
      </c>
      <c r="H66" s="26" t="s">
        <v>32</v>
      </c>
      <c r="I66" s="27">
        <v>16.126200000000001</v>
      </c>
      <c r="J66" s="28">
        <v>1</v>
      </c>
      <c r="K66" s="29">
        <v>16.126200000000001</v>
      </c>
    </row>
    <row r="67" spans="1:11">
      <c r="A67" s="25" t="s">
        <v>9</v>
      </c>
      <c r="B67" s="25" t="s">
        <v>4</v>
      </c>
      <c r="C67" s="25" t="s">
        <v>27</v>
      </c>
      <c r="D67" s="25" t="s">
        <v>112</v>
      </c>
      <c r="E67" s="25" t="s">
        <v>113</v>
      </c>
      <c r="F67" s="25" t="s">
        <v>30</v>
      </c>
      <c r="G67" s="26" t="s">
        <v>31</v>
      </c>
      <c r="H67" s="26" t="s">
        <v>32</v>
      </c>
      <c r="I67" s="27">
        <v>0</v>
      </c>
      <c r="J67" s="28">
        <v>1</v>
      </c>
      <c r="K67" s="29">
        <v>0</v>
      </c>
    </row>
    <row r="68" spans="1:11">
      <c r="A68" s="25" t="s">
        <v>9</v>
      </c>
      <c r="B68" s="25" t="s">
        <v>4</v>
      </c>
      <c r="C68" s="25" t="s">
        <v>27</v>
      </c>
      <c r="D68" s="25" t="s">
        <v>114</v>
      </c>
      <c r="E68" s="25" t="s">
        <v>115</v>
      </c>
      <c r="F68" s="25" t="s">
        <v>30</v>
      </c>
      <c r="G68" s="26" t="s">
        <v>31</v>
      </c>
      <c r="H68" s="26" t="s">
        <v>32</v>
      </c>
      <c r="I68" s="27">
        <v>16.126200000000001</v>
      </c>
      <c r="J68" s="28">
        <v>1</v>
      </c>
      <c r="K68" s="29">
        <v>16.126200000000001</v>
      </c>
    </row>
    <row r="69" spans="1:11">
      <c r="A69" s="25" t="s">
        <v>9</v>
      </c>
      <c r="B69" s="25" t="s">
        <v>4</v>
      </c>
      <c r="C69" s="25" t="s">
        <v>27</v>
      </c>
      <c r="D69" s="25" t="s">
        <v>114</v>
      </c>
      <c r="E69" s="25" t="s">
        <v>116</v>
      </c>
      <c r="F69" s="25" t="s">
        <v>30</v>
      </c>
      <c r="G69" s="26" t="s">
        <v>31</v>
      </c>
      <c r="H69" s="26" t="s">
        <v>32</v>
      </c>
      <c r="I69" s="27">
        <v>6.4463999999999997</v>
      </c>
      <c r="J69" s="28">
        <v>1</v>
      </c>
      <c r="K69" s="29">
        <v>6.4463999999999997</v>
      </c>
    </row>
    <row r="70" spans="1:11">
      <c r="A70" s="25" t="s">
        <v>9</v>
      </c>
      <c r="B70" s="25" t="s">
        <v>4</v>
      </c>
      <c r="C70" s="25" t="s">
        <v>27</v>
      </c>
      <c r="D70" s="25" t="s">
        <v>114</v>
      </c>
      <c r="E70" s="25" t="s">
        <v>117</v>
      </c>
      <c r="F70" s="25" t="s">
        <v>30</v>
      </c>
      <c r="G70" s="26" t="s">
        <v>31</v>
      </c>
      <c r="H70" s="26" t="s">
        <v>32</v>
      </c>
      <c r="I70" s="27">
        <v>0.55079999999999996</v>
      </c>
      <c r="J70" s="28">
        <v>1</v>
      </c>
      <c r="K70" s="29">
        <v>0.55079999999999996</v>
      </c>
    </row>
    <row r="71" spans="1:11">
      <c r="A71" s="25" t="s">
        <v>9</v>
      </c>
      <c r="B71" s="25" t="s">
        <v>4</v>
      </c>
      <c r="C71" s="25" t="s">
        <v>27</v>
      </c>
      <c r="D71" s="25" t="s">
        <v>118</v>
      </c>
      <c r="E71" s="25" t="s">
        <v>119</v>
      </c>
      <c r="F71" s="25" t="s">
        <v>30</v>
      </c>
      <c r="G71" s="26" t="s">
        <v>31</v>
      </c>
      <c r="H71" s="26" t="s">
        <v>32</v>
      </c>
      <c r="I71" s="27">
        <v>0</v>
      </c>
      <c r="J71" s="28">
        <v>1</v>
      </c>
      <c r="K71" s="29">
        <v>0</v>
      </c>
    </row>
    <row r="72" spans="1:11">
      <c r="A72" s="25" t="s">
        <v>9</v>
      </c>
      <c r="B72" s="25" t="s">
        <v>4</v>
      </c>
      <c r="C72" s="25" t="s">
        <v>27</v>
      </c>
      <c r="D72" s="25" t="s">
        <v>120</v>
      </c>
      <c r="E72" s="25" t="s">
        <v>121</v>
      </c>
      <c r="F72" s="25" t="s">
        <v>30</v>
      </c>
      <c r="G72" s="26" t="s">
        <v>31</v>
      </c>
      <c r="H72" s="26" t="s">
        <v>32</v>
      </c>
      <c r="I72" s="27">
        <v>0</v>
      </c>
      <c r="J72" s="28">
        <v>1</v>
      </c>
      <c r="K72" s="29">
        <v>0</v>
      </c>
    </row>
    <row r="73" spans="1:11" s="35" customFormat="1">
      <c r="A73" s="30" t="s">
        <v>9</v>
      </c>
      <c r="B73" s="30" t="s">
        <v>4</v>
      </c>
      <c r="C73" s="30" t="s">
        <v>27</v>
      </c>
      <c r="D73" s="30" t="s">
        <v>122</v>
      </c>
      <c r="E73" s="30" t="s">
        <v>123</v>
      </c>
      <c r="F73" s="30" t="s">
        <v>30</v>
      </c>
      <c r="G73" s="31" t="s">
        <v>31</v>
      </c>
      <c r="H73" s="31" t="s">
        <v>32</v>
      </c>
      <c r="I73" s="32">
        <v>650.2704</v>
      </c>
      <c r="J73" s="33">
        <v>1</v>
      </c>
      <c r="K73" s="34">
        <v>650.2704</v>
      </c>
    </row>
    <row r="74" spans="1:11">
      <c r="A74" s="25" t="s">
        <v>9</v>
      </c>
      <c r="B74" s="25" t="s">
        <v>4</v>
      </c>
      <c r="C74" s="25" t="s">
        <v>27</v>
      </c>
      <c r="D74" s="25" t="s">
        <v>124</v>
      </c>
      <c r="E74" s="25" t="s">
        <v>125</v>
      </c>
      <c r="F74" s="25" t="s">
        <v>30</v>
      </c>
      <c r="G74" s="26" t="s">
        <v>31</v>
      </c>
      <c r="H74" s="26" t="s">
        <v>32</v>
      </c>
      <c r="I74" s="27">
        <v>46.6038</v>
      </c>
      <c r="J74" s="28">
        <v>1</v>
      </c>
      <c r="K74" s="29">
        <v>46.6038</v>
      </c>
    </row>
    <row r="75" spans="1:11">
      <c r="A75" s="25" t="s">
        <v>9</v>
      </c>
      <c r="B75" s="25" t="s">
        <v>4</v>
      </c>
      <c r="C75" s="25" t="s">
        <v>27</v>
      </c>
      <c r="D75" s="25" t="s">
        <v>126</v>
      </c>
      <c r="E75" s="25" t="s">
        <v>127</v>
      </c>
      <c r="F75" s="25" t="s">
        <v>30</v>
      </c>
      <c r="G75" s="26" t="s">
        <v>31</v>
      </c>
      <c r="H75" s="26" t="s">
        <v>32</v>
      </c>
      <c r="I75" s="27">
        <v>1.02</v>
      </c>
      <c r="J75" s="28">
        <v>1</v>
      </c>
      <c r="K75" s="29">
        <v>1.02</v>
      </c>
    </row>
    <row r="76" spans="1:11">
      <c r="A76" s="25" t="s">
        <v>9</v>
      </c>
      <c r="B76" s="25" t="s">
        <v>4</v>
      </c>
      <c r="C76" s="25" t="s">
        <v>27</v>
      </c>
      <c r="D76" s="25" t="s">
        <v>126</v>
      </c>
      <c r="E76" s="25" t="s">
        <v>128</v>
      </c>
      <c r="F76" s="25" t="s">
        <v>30</v>
      </c>
      <c r="G76" s="26" t="s">
        <v>31</v>
      </c>
      <c r="H76" s="26" t="s">
        <v>32</v>
      </c>
      <c r="I76" s="27">
        <v>0</v>
      </c>
      <c r="J76" s="28">
        <v>1</v>
      </c>
      <c r="K76" s="29">
        <v>0</v>
      </c>
    </row>
    <row r="77" spans="1:11">
      <c r="A77" s="25" t="s">
        <v>9</v>
      </c>
      <c r="B77" s="25" t="s">
        <v>4</v>
      </c>
      <c r="C77" s="25" t="s">
        <v>27</v>
      </c>
      <c r="D77" s="25" t="s">
        <v>126</v>
      </c>
      <c r="E77" s="25" t="s">
        <v>127</v>
      </c>
      <c r="F77" s="25" t="s">
        <v>30</v>
      </c>
      <c r="G77" s="26" t="s">
        <v>31</v>
      </c>
      <c r="H77" s="26" t="s">
        <v>32</v>
      </c>
      <c r="I77" s="27">
        <v>0</v>
      </c>
      <c r="J77" s="28">
        <v>1</v>
      </c>
      <c r="K77" s="29">
        <v>0</v>
      </c>
    </row>
    <row r="78" spans="1:11">
      <c r="A78" s="25" t="s">
        <v>9</v>
      </c>
      <c r="B78" s="25" t="s">
        <v>4</v>
      </c>
      <c r="C78" s="25" t="s">
        <v>27</v>
      </c>
      <c r="D78" s="25" t="s">
        <v>129</v>
      </c>
      <c r="E78" s="25" t="s">
        <v>130</v>
      </c>
      <c r="F78" s="25" t="s">
        <v>30</v>
      </c>
      <c r="G78" s="26" t="s">
        <v>31</v>
      </c>
      <c r="H78" s="26" t="s">
        <v>32</v>
      </c>
      <c r="I78" s="27">
        <v>1.7136</v>
      </c>
      <c r="J78" s="28">
        <v>1</v>
      </c>
      <c r="K78" s="29">
        <v>1.7136</v>
      </c>
    </row>
    <row r="79" spans="1:11">
      <c r="A79" s="25" t="s">
        <v>9</v>
      </c>
      <c r="B79" s="25" t="s">
        <v>4</v>
      </c>
      <c r="C79" s="25" t="s">
        <v>27</v>
      </c>
      <c r="D79" s="25" t="s">
        <v>131</v>
      </c>
      <c r="E79" s="25" t="s">
        <v>132</v>
      </c>
      <c r="F79" s="25" t="s">
        <v>30</v>
      </c>
      <c r="G79" s="26" t="s">
        <v>31</v>
      </c>
      <c r="H79" s="26" t="s">
        <v>32</v>
      </c>
      <c r="I79" s="27">
        <v>1.0302</v>
      </c>
      <c r="J79" s="28">
        <v>1</v>
      </c>
      <c r="K79" s="29">
        <v>1.0302</v>
      </c>
    </row>
    <row r="80" spans="1:11">
      <c r="A80" s="25" t="s">
        <v>9</v>
      </c>
      <c r="B80" s="25" t="s">
        <v>4</v>
      </c>
      <c r="C80" s="25" t="s">
        <v>27</v>
      </c>
      <c r="D80" s="25" t="s">
        <v>133</v>
      </c>
      <c r="E80" s="25" t="s">
        <v>134</v>
      </c>
      <c r="F80" s="25" t="s">
        <v>30</v>
      </c>
      <c r="G80" s="26" t="s">
        <v>31</v>
      </c>
      <c r="H80" s="26" t="s">
        <v>32</v>
      </c>
      <c r="I80" s="27">
        <v>0.51</v>
      </c>
      <c r="J80" s="28">
        <v>1</v>
      </c>
      <c r="K80" s="29">
        <v>0.51</v>
      </c>
    </row>
    <row r="81" spans="1:11">
      <c r="A81" s="25" t="s">
        <v>9</v>
      </c>
      <c r="B81" s="25" t="s">
        <v>4</v>
      </c>
      <c r="C81" s="25" t="s">
        <v>27</v>
      </c>
      <c r="D81" s="25" t="s">
        <v>135</v>
      </c>
      <c r="E81" s="25" t="s">
        <v>136</v>
      </c>
      <c r="F81" s="25" t="s">
        <v>30</v>
      </c>
      <c r="G81" s="26" t="s">
        <v>31</v>
      </c>
      <c r="H81" s="26" t="s">
        <v>32</v>
      </c>
      <c r="I81" s="27">
        <v>2.4786000000000001</v>
      </c>
      <c r="J81" s="28">
        <v>1</v>
      </c>
      <c r="K81" s="29">
        <v>2.4786000000000001</v>
      </c>
    </row>
    <row r="82" spans="1:11">
      <c r="A82" s="25" t="s">
        <v>9</v>
      </c>
      <c r="B82" s="25" t="s">
        <v>4</v>
      </c>
      <c r="C82" s="25" t="s">
        <v>27</v>
      </c>
      <c r="D82" s="25" t="s">
        <v>137</v>
      </c>
      <c r="E82" s="25" t="s">
        <v>138</v>
      </c>
      <c r="F82" s="25" t="s">
        <v>30</v>
      </c>
      <c r="G82" s="26" t="s">
        <v>31</v>
      </c>
      <c r="H82" s="26" t="s">
        <v>32</v>
      </c>
      <c r="I82" s="27">
        <v>0</v>
      </c>
      <c r="J82" s="28">
        <v>1</v>
      </c>
      <c r="K82" s="29">
        <v>0</v>
      </c>
    </row>
    <row r="83" spans="1:11">
      <c r="A83" s="25" t="s">
        <v>9</v>
      </c>
      <c r="B83" s="25" t="s">
        <v>4</v>
      </c>
      <c r="C83" s="25" t="s">
        <v>27</v>
      </c>
      <c r="D83" s="25" t="s">
        <v>139</v>
      </c>
      <c r="E83" s="25" t="s">
        <v>140</v>
      </c>
      <c r="F83" s="25" t="s">
        <v>30</v>
      </c>
      <c r="G83" s="26" t="s">
        <v>31</v>
      </c>
      <c r="H83" s="26" t="s">
        <v>32</v>
      </c>
      <c r="I83" s="27">
        <v>0</v>
      </c>
      <c r="J83" s="28">
        <v>1</v>
      </c>
      <c r="K83" s="29">
        <v>0</v>
      </c>
    </row>
    <row r="84" spans="1:11">
      <c r="A84" s="25" t="s">
        <v>9</v>
      </c>
      <c r="B84" s="25" t="s">
        <v>4</v>
      </c>
      <c r="C84" s="25" t="s">
        <v>27</v>
      </c>
      <c r="D84" s="25" t="s">
        <v>141</v>
      </c>
      <c r="E84" s="25" t="s">
        <v>142</v>
      </c>
      <c r="F84" s="25" t="s">
        <v>30</v>
      </c>
      <c r="G84" s="26" t="s">
        <v>31</v>
      </c>
      <c r="H84" s="26" t="s">
        <v>32</v>
      </c>
      <c r="I84" s="27">
        <v>145.49279999999999</v>
      </c>
      <c r="J84" s="28">
        <v>1</v>
      </c>
      <c r="K84" s="29">
        <v>145.49279999999999</v>
      </c>
    </row>
  </sheetData>
  <pageMargins left="0.7" right="0.7" top="0.75" bottom="0.75" header="0.3" footer="0.3"/>
  <pageSetup paperSize="9" scale="6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Shamsheer</dc:creator>
  <cp:keywords/>
  <dc:description/>
  <cp:lastModifiedBy>m.arham</cp:lastModifiedBy>
  <cp:revision/>
  <dcterms:created xsi:type="dcterms:W3CDTF">2026-02-10T21:07:52Z</dcterms:created>
  <dcterms:modified xsi:type="dcterms:W3CDTF">2026-05-25T19:47:24Z</dcterms:modified>
  <cp:category/>
  <cp:contentStatus/>
</cp:coreProperties>
</file>